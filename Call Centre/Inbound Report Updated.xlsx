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470DRD3H\"/>
    </mc:Choice>
  </mc:AlternateContent>
  <bookViews>
    <workbookView xWindow="0" yWindow="0" windowWidth="28800" windowHeight="12330"/>
  </bookViews>
  <sheets>
    <sheet name="05.12.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7" i="1" l="1"/>
  <c r="Y17" i="1"/>
  <c r="X17" i="1"/>
  <c r="U17" i="1"/>
  <c r="P17" i="1" s="1"/>
  <c r="T17" i="1"/>
  <c r="S17" i="1"/>
  <c r="Z16" i="1"/>
  <c r="P16" i="1" s="1"/>
  <c r="Y16" i="1"/>
  <c r="AA16" i="1" s="1"/>
  <c r="X16" i="1"/>
  <c r="U16" i="1"/>
  <c r="T16" i="1"/>
  <c r="S16" i="1"/>
  <c r="N16" i="1" s="1"/>
  <c r="Z15" i="1"/>
  <c r="Y15" i="1"/>
  <c r="AA15" i="1" s="1"/>
  <c r="X15" i="1"/>
  <c r="U15" i="1"/>
  <c r="T15" i="1"/>
  <c r="S15" i="1"/>
  <c r="Z14" i="1"/>
  <c r="Y14" i="1"/>
  <c r="X14" i="1"/>
  <c r="U14" i="1"/>
  <c r="T14" i="1"/>
  <c r="O14" i="1" s="1"/>
  <c r="S14" i="1"/>
  <c r="N14" i="1" s="1"/>
  <c r="Z13" i="1"/>
  <c r="P13" i="1" s="1"/>
  <c r="Y13" i="1"/>
  <c r="X13" i="1"/>
  <c r="V13" i="1"/>
  <c r="U13" i="1"/>
  <c r="T13" i="1"/>
  <c r="O13" i="1" s="1"/>
  <c r="S13" i="1"/>
  <c r="N13" i="1" s="1"/>
  <c r="Z12" i="1"/>
  <c r="Y12" i="1"/>
  <c r="X12" i="1"/>
  <c r="U12" i="1"/>
  <c r="T12" i="1"/>
  <c r="S12" i="1"/>
  <c r="P12" i="1"/>
  <c r="Z11" i="1"/>
  <c r="Y11" i="1"/>
  <c r="X11" i="1"/>
  <c r="U11" i="1"/>
  <c r="T11" i="1"/>
  <c r="S11" i="1"/>
  <c r="Z10" i="1"/>
  <c r="Y10" i="1"/>
  <c r="AA10" i="1" s="1"/>
  <c r="X10" i="1"/>
  <c r="U10" i="1"/>
  <c r="T10" i="1"/>
  <c r="S10" i="1"/>
  <c r="N10" i="1" s="1"/>
  <c r="Z9" i="1"/>
  <c r="AA9" i="1" s="1"/>
  <c r="Y9" i="1"/>
  <c r="X9" i="1"/>
  <c r="U9" i="1"/>
  <c r="T9" i="1"/>
  <c r="O9" i="1" s="1"/>
  <c r="S9" i="1"/>
  <c r="N9" i="1"/>
  <c r="Z8" i="1"/>
  <c r="Y8" i="1"/>
  <c r="AA8" i="1" s="1"/>
  <c r="X8" i="1"/>
  <c r="U8" i="1"/>
  <c r="P8" i="1" s="1"/>
  <c r="T8" i="1"/>
  <c r="S8" i="1"/>
  <c r="N8" i="1"/>
  <c r="Z7" i="1"/>
  <c r="Y7" i="1"/>
  <c r="X7" i="1"/>
  <c r="AA7" i="1" s="1"/>
  <c r="U7" i="1"/>
  <c r="P7" i="1" s="1"/>
  <c r="T7" i="1"/>
  <c r="S7" i="1"/>
  <c r="N7" i="1" s="1"/>
  <c r="Z6" i="1"/>
  <c r="Y6" i="1"/>
  <c r="X6" i="1"/>
  <c r="N6" i="1" s="1"/>
  <c r="U6" i="1"/>
  <c r="T6" i="1"/>
  <c r="S6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Z5" i="1"/>
  <c r="Y5" i="1"/>
  <c r="X5" i="1"/>
  <c r="U5" i="1"/>
  <c r="T5" i="1"/>
  <c r="S5" i="1"/>
  <c r="L5" i="1"/>
  <c r="Z4" i="1"/>
  <c r="AA4" i="1" s="1"/>
  <c r="Y4" i="1"/>
  <c r="X4" i="1"/>
  <c r="X18" i="1" s="1"/>
  <c r="U4" i="1"/>
  <c r="T4" i="1"/>
  <c r="S4" i="1"/>
  <c r="N4" i="1" s="1"/>
  <c r="O11" i="1" l="1"/>
  <c r="V15" i="1"/>
  <c r="V11" i="1"/>
  <c r="O5" i="1"/>
  <c r="O7" i="1"/>
  <c r="O17" i="1"/>
  <c r="T18" i="1"/>
  <c r="V5" i="1"/>
  <c r="P5" i="1"/>
  <c r="O6" i="1"/>
  <c r="Q6" i="1" s="1"/>
  <c r="AA13" i="1"/>
  <c r="P14" i="1"/>
  <c r="P15" i="1"/>
  <c r="O16" i="1"/>
  <c r="Y18" i="1"/>
  <c r="AA5" i="1"/>
  <c r="P6" i="1"/>
  <c r="O8" i="1"/>
  <c r="Q8" i="1" s="1"/>
  <c r="P11" i="1"/>
  <c r="AA11" i="1"/>
  <c r="AA14" i="1"/>
  <c r="AA17" i="1"/>
  <c r="Q14" i="1"/>
  <c r="P9" i="1"/>
  <c r="O10" i="1"/>
  <c r="O15" i="1"/>
  <c r="Q15" i="1" s="1"/>
  <c r="V12" i="1"/>
  <c r="U18" i="1"/>
  <c r="Q9" i="1"/>
  <c r="Q13" i="1"/>
  <c r="V14" i="1"/>
  <c r="V6" i="1"/>
  <c r="V9" i="1"/>
  <c r="P10" i="1"/>
  <c r="N12" i="1"/>
  <c r="V17" i="1"/>
  <c r="Q7" i="1"/>
  <c r="N15" i="1"/>
  <c r="V7" i="1"/>
  <c r="Q16" i="1"/>
  <c r="O4" i="1"/>
  <c r="AA6" i="1"/>
  <c r="V10" i="1"/>
  <c r="N11" i="1"/>
  <c r="AA12" i="1"/>
  <c r="V16" i="1"/>
  <c r="N17" i="1"/>
  <c r="Q17" i="1" s="1"/>
  <c r="V8" i="1"/>
  <c r="V4" i="1"/>
  <c r="N5" i="1"/>
  <c r="P4" i="1"/>
  <c r="O12" i="1"/>
  <c r="S18" i="1"/>
  <c r="Z18" i="1"/>
  <c r="Q5" i="1" l="1"/>
  <c r="Q10" i="1"/>
  <c r="Q11" i="1"/>
  <c r="V18" i="1"/>
  <c r="AA18" i="1"/>
  <c r="Q12" i="1"/>
  <c r="P18" i="1"/>
  <c r="Q4" i="1"/>
  <c r="N18" i="1"/>
  <c r="O18" i="1"/>
  <c r="Q18" i="1" l="1"/>
</calcChain>
</file>

<file path=xl/sharedStrings.xml><?xml version="1.0" encoding="utf-8"?>
<sst xmlns="http://schemas.openxmlformats.org/spreadsheetml/2006/main" count="122" uniqueCount="54">
  <si>
    <t>In-Bound Traffic - Daily Time Sheet</t>
  </si>
  <si>
    <t xml:space="preserve">Notes </t>
  </si>
  <si>
    <t>TOTAL TRAFFIC</t>
  </si>
  <si>
    <t>INBOUND</t>
  </si>
  <si>
    <t>OUBOUND</t>
  </si>
  <si>
    <t xml:space="preserve">Code Ref </t>
  </si>
  <si>
    <t>Activity</t>
  </si>
  <si>
    <t>Call</t>
  </si>
  <si>
    <t>App</t>
  </si>
  <si>
    <t>Mail</t>
  </si>
  <si>
    <t>TOTAL</t>
  </si>
  <si>
    <t>T-Out</t>
  </si>
  <si>
    <t>email</t>
  </si>
  <si>
    <t>Employee Name</t>
  </si>
  <si>
    <t>Cable Related Issues - Corporate</t>
  </si>
  <si>
    <t>Power Outage - Affecting Node</t>
  </si>
  <si>
    <t>E.C Number</t>
  </si>
  <si>
    <t>Department</t>
  </si>
  <si>
    <t>Commercial</t>
  </si>
  <si>
    <t>Fault @ Switch</t>
  </si>
  <si>
    <t>Configuration Issue</t>
  </si>
  <si>
    <t>Job Title</t>
  </si>
  <si>
    <t>CCA</t>
  </si>
  <si>
    <t>Supervisor's Name</t>
  </si>
  <si>
    <t>Farai Mafunga</t>
  </si>
  <si>
    <t>Bandwidth Issue</t>
  </si>
  <si>
    <t>Client Fault Resolution Follow-Up</t>
  </si>
  <si>
    <t>Time</t>
  </si>
  <si>
    <t>Contact Detailis</t>
  </si>
  <si>
    <t>Contact Person</t>
  </si>
  <si>
    <t>Activity code</t>
  </si>
  <si>
    <t>ActionTaken</t>
  </si>
  <si>
    <t>General Troubleshooting</t>
  </si>
  <si>
    <t>Inbound</t>
  </si>
  <si>
    <t>Outbound</t>
  </si>
  <si>
    <t>Evending enquiries</t>
  </si>
  <si>
    <t>Assisted</t>
  </si>
  <si>
    <t>Internal stakeholder enquiries</t>
  </si>
  <si>
    <t>Products Enquiries</t>
  </si>
  <si>
    <t>Network Coverage/Status</t>
  </si>
  <si>
    <t>Complaints</t>
  </si>
  <si>
    <t>General Enquiries</t>
  </si>
  <si>
    <t>Total Traffic</t>
  </si>
  <si>
    <t>Stanbic FCA-9140001273484</t>
  </si>
  <si>
    <t>Samora Machel</t>
  </si>
  <si>
    <t>Powertel Communications</t>
  </si>
  <si>
    <t>9140002161035 Parklane branc</t>
  </si>
  <si>
    <t>16 Birmingharoad-753147-8; 780630</t>
  </si>
  <si>
    <t>Employee's Signature</t>
  </si>
  <si>
    <t>Supervisor's signature</t>
  </si>
  <si>
    <t>hrs</t>
  </si>
  <si>
    <t>Date:   05/12/24</t>
  </si>
  <si>
    <t>05.12.24</t>
  </si>
  <si>
    <t>Transformer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</si>
</sst>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0" xfId="0" applyBorder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4" borderId="5" xfId="0" applyFont="1" applyFill="1" applyBorder="1"/>
    <xf numFmtId="0" fontId="0" fillId="4" borderId="6" xfId="0" applyFont="1" applyFill="1" applyBorder="1"/>
    <xf numFmtId="0" fontId="8" fillId="0" borderId="10" xfId="0" applyFont="1" applyBorder="1"/>
    <xf numFmtId="49" fontId="8" fillId="0" borderId="11" xfId="0" applyNumberFormat="1" applyFont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9" fillId="4" borderId="11" xfId="0" applyFont="1" applyFill="1" applyBorder="1"/>
    <xf numFmtId="0" fontId="9" fillId="4" borderId="11" xfId="0" applyFont="1" applyFill="1" applyBorder="1" applyAlignment="1">
      <alignment horizontal="right"/>
    </xf>
    <xf numFmtId="0" fontId="9" fillId="5" borderId="11" xfId="0" applyFont="1" applyFill="1" applyBorder="1" applyAlignment="1">
      <alignment horizontal="right"/>
    </xf>
    <xf numFmtId="0" fontId="10" fillId="4" borderId="10" xfId="0" applyFont="1" applyFill="1" applyBorder="1"/>
    <xf numFmtId="49" fontId="10" fillId="4" borderId="11" xfId="0" applyNumberFormat="1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2" fillId="0" borderId="11" xfId="0" applyFont="1" applyFill="1" applyBorder="1" applyAlignment="1">
      <alignment horizontal="left"/>
    </xf>
    <xf numFmtId="0" fontId="0" fillId="0" borderId="11" xfId="0" applyFont="1" applyBorder="1" applyAlignment="1">
      <alignment horizontal="right"/>
    </xf>
    <xf numFmtId="0" fontId="0" fillId="5" borderId="11" xfId="0" applyFont="1" applyFill="1" applyBorder="1" applyAlignment="1">
      <alignment horizontal="right"/>
    </xf>
    <xf numFmtId="0" fontId="8" fillId="4" borderId="10" xfId="0" applyFont="1" applyFill="1" applyBorder="1"/>
    <xf numFmtId="49" fontId="8" fillId="4" borderId="11" xfId="0" applyNumberFormat="1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right"/>
    </xf>
    <xf numFmtId="0" fontId="0" fillId="0" borderId="0" xfId="0" applyFill="1"/>
    <xf numFmtId="49" fontId="10" fillId="0" borderId="11" xfId="0" applyNumberFormat="1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49" fontId="13" fillId="4" borderId="11" xfId="0" applyNumberFormat="1" applyFont="1" applyFill="1" applyBorder="1" applyAlignment="1">
      <alignment horizontal="left"/>
    </xf>
    <xf numFmtId="0" fontId="13" fillId="4" borderId="11" xfId="0" applyFont="1" applyFill="1" applyBorder="1" applyAlignment="1">
      <alignment horizontal="left"/>
    </xf>
    <xf numFmtId="49" fontId="12" fillId="0" borderId="11" xfId="0" applyNumberFormat="1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49" fontId="14" fillId="4" borderId="11" xfId="0" applyNumberFormat="1" applyFont="1" applyFill="1" applyBorder="1" applyAlignment="1">
      <alignment horizontal="left"/>
    </xf>
    <xf numFmtId="0" fontId="0" fillId="4" borderId="0" xfId="0" applyFill="1" applyBorder="1"/>
    <xf numFmtId="0" fontId="14" fillId="0" borderId="10" xfId="0" applyFont="1" applyFill="1" applyBorder="1" applyAlignment="1">
      <alignment horizontal="left"/>
    </xf>
    <xf numFmtId="0" fontId="8" fillId="0" borderId="11" xfId="0" applyFont="1" applyFill="1" applyBorder="1"/>
    <xf numFmtId="0" fontId="8" fillId="4" borderId="11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0" borderId="13" xfId="0" applyFont="1" applyFill="1" applyBorder="1"/>
    <xf numFmtId="0" fontId="0" fillId="4" borderId="0" xfId="0" applyFill="1"/>
    <xf numFmtId="0" fontId="13" fillId="0" borderId="7" xfId="0" applyFont="1" applyFill="1" applyBorder="1" applyAlignment="1">
      <alignment horizontal="left"/>
    </xf>
    <xf numFmtId="49" fontId="13" fillId="0" borderId="11" xfId="0" applyNumberFormat="1" applyFont="1" applyFill="1" applyBorder="1" applyAlignment="1">
      <alignment horizontal="center"/>
    </xf>
    <xf numFmtId="49" fontId="8" fillId="0" borderId="7" xfId="0" applyNumberFormat="1" applyFont="1" applyFill="1" applyBorder="1" applyAlignment="1">
      <alignment horizontal="center"/>
    </xf>
    <xf numFmtId="49" fontId="8" fillId="5" borderId="18" xfId="0" applyNumberFormat="1" applyFont="1" applyFill="1" applyBorder="1" applyAlignment="1">
      <alignment horizontal="center"/>
    </xf>
    <xf numFmtId="0" fontId="15" fillId="5" borderId="9" xfId="2" applyFont="1" applyFill="1" applyBorder="1" applyAlignment="1">
      <alignment horizontal="center"/>
    </xf>
    <xf numFmtId="0" fontId="14" fillId="5" borderId="7" xfId="0" applyNumberFormat="1" applyFont="1" applyFill="1" applyBorder="1" applyAlignment="1">
      <alignment horizontal="center"/>
    </xf>
    <xf numFmtId="0" fontId="12" fillId="0" borderId="11" xfId="1" applyFont="1" applyFill="1" applyBorder="1" applyAlignment="1">
      <alignment horizontal="left"/>
    </xf>
    <xf numFmtId="0" fontId="14" fillId="0" borderId="10" xfId="1" applyFont="1" applyFill="1" applyBorder="1" applyAlignment="1">
      <alignment horizontal="left"/>
    </xf>
    <xf numFmtId="49" fontId="14" fillId="0" borderId="11" xfId="3" applyNumberFormat="1" applyFont="1" applyFill="1" applyBorder="1" applyAlignment="1">
      <alignment horizontal="left"/>
    </xf>
    <xf numFmtId="0" fontId="15" fillId="5" borderId="9" xfId="2" applyFont="1" applyFill="1" applyBorder="1" applyAlignment="1">
      <alignment horizontal="left"/>
    </xf>
    <xf numFmtId="49" fontId="10" fillId="0" borderId="11" xfId="1" applyNumberFormat="1" applyFont="1" applyFill="1" applyBorder="1" applyAlignment="1">
      <alignment horizontal="left"/>
    </xf>
    <xf numFmtId="49" fontId="12" fillId="0" borderId="11" xfId="1" applyNumberFormat="1" applyFont="1" applyFill="1" applyBorder="1" applyAlignment="1">
      <alignment horizontal="left"/>
    </xf>
    <xf numFmtId="0" fontId="8" fillId="0" borderId="10" xfId="2" applyFont="1" applyFill="1" applyBorder="1" applyAlignment="1">
      <alignment horizontal="left"/>
    </xf>
    <xf numFmtId="0" fontId="14" fillId="0" borderId="11" xfId="3" applyFont="1" applyBorder="1"/>
    <xf numFmtId="0" fontId="4" fillId="0" borderId="0" xfId="0" applyFont="1"/>
    <xf numFmtId="0" fontId="7" fillId="0" borderId="11" xfId="0" applyFont="1" applyFill="1" applyBorder="1"/>
    <xf numFmtId="0" fontId="17" fillId="0" borderId="11" xfId="0" applyFont="1" applyBorder="1" applyAlignment="1">
      <alignment horizontal="right"/>
    </xf>
    <xf numFmtId="0" fontId="15" fillId="0" borderId="11" xfId="0" applyFont="1" applyBorder="1" applyAlignment="1">
      <alignment horizontal="right"/>
    </xf>
    <xf numFmtId="0" fontId="15" fillId="0" borderId="0" xfId="0" applyFont="1"/>
    <xf numFmtId="0" fontId="15" fillId="5" borderId="11" xfId="0" applyFont="1" applyFill="1" applyBorder="1" applyAlignment="1">
      <alignment horizontal="right"/>
    </xf>
    <xf numFmtId="0" fontId="8" fillId="0" borderId="7" xfId="0" applyFont="1" applyFill="1" applyBorder="1" applyAlignment="1">
      <alignment horizontal="center"/>
    </xf>
    <xf numFmtId="49" fontId="8" fillId="0" borderId="11" xfId="0" applyNumberFormat="1" applyFont="1" applyFill="1" applyBorder="1" applyAlignment="1">
      <alignment horizontal="center"/>
    </xf>
    <xf numFmtId="0" fontId="3" fillId="5" borderId="9" xfId="2" applyFill="1" applyBorder="1" applyAlignment="1">
      <alignment horizontal="left"/>
    </xf>
    <xf numFmtId="0" fontId="7" fillId="0" borderId="0" xfId="0" applyFont="1" applyFill="1" applyBorder="1"/>
    <xf numFmtId="0" fontId="7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4" fillId="0" borderId="11" xfId="0" applyFont="1" applyBorder="1" applyAlignment="1">
      <alignment horizontal="left"/>
    </xf>
    <xf numFmtId="0" fontId="0" fillId="0" borderId="11" xfId="2" applyFont="1" applyFill="1" applyBorder="1" applyAlignment="1">
      <alignment horizontal="left"/>
    </xf>
    <xf numFmtId="0" fontId="1" fillId="0" borderId="11" xfId="2" applyFont="1" applyFill="1" applyBorder="1" applyAlignment="1">
      <alignment horizontal="left"/>
    </xf>
    <xf numFmtId="0" fontId="8" fillId="0" borderId="7" xfId="2" applyFont="1" applyFill="1" applyBorder="1" applyAlignment="1">
      <alignment horizontal="center"/>
    </xf>
    <xf numFmtId="0" fontId="14" fillId="5" borderId="18" xfId="2" applyFont="1" applyFill="1" applyBorder="1" applyAlignment="1">
      <alignment horizontal="center"/>
    </xf>
    <xf numFmtId="0" fontId="14" fillId="5" borderId="9" xfId="1" applyFont="1" applyFill="1" applyBorder="1" applyAlignment="1">
      <alignment horizontal="center"/>
    </xf>
    <xf numFmtId="0" fontId="15" fillId="0" borderId="0" xfId="0" applyFont="1" applyBorder="1"/>
    <xf numFmtId="49" fontId="14" fillId="0" borderId="11" xfId="0" applyNumberFormat="1" applyFont="1" applyFill="1" applyBorder="1" applyAlignment="1">
      <alignment horizontal="left"/>
    </xf>
    <xf numFmtId="49" fontId="14" fillId="0" borderId="7" xfId="0" applyNumberFormat="1" applyFont="1" applyFill="1" applyBorder="1" applyAlignment="1">
      <alignment horizontal="center"/>
    </xf>
    <xf numFmtId="49" fontId="14" fillId="5" borderId="18" xfId="0" applyNumberFormat="1" applyFont="1" applyFill="1" applyBorder="1" applyAlignment="1">
      <alignment horizontal="center"/>
    </xf>
    <xf numFmtId="0" fontId="14" fillId="5" borderId="9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Border="1"/>
    <xf numFmtId="0" fontId="14" fillId="0" borderId="13" xfId="0" applyFont="1" applyFill="1" applyBorder="1"/>
    <xf numFmtId="0" fontId="0" fillId="0" borderId="0" xfId="0" applyFont="1"/>
    <xf numFmtId="0" fontId="0" fillId="0" borderId="0" xfId="0" applyFont="1" applyAlignment="1">
      <alignment horizontal="center"/>
    </xf>
    <xf numFmtId="49" fontId="14" fillId="0" borderId="11" xfId="0" applyNumberFormat="1" applyFont="1" applyFill="1" applyBorder="1" applyAlignment="1">
      <alignment horizontal="center"/>
    </xf>
    <xf numFmtId="0" fontId="8" fillId="0" borderId="0" xfId="0" applyFont="1"/>
    <xf numFmtId="0" fontId="8" fillId="4" borderId="13" xfId="0" applyFont="1" applyFill="1" applyBorder="1"/>
    <xf numFmtId="0" fontId="8" fillId="0" borderId="11" xfId="0" applyFont="1" applyBorder="1"/>
    <xf numFmtId="49" fontId="14" fillId="0" borderId="7" xfId="0" applyNumberFormat="1" applyFont="1" applyFill="1" applyBorder="1" applyAlignment="1">
      <alignment horizontal="left"/>
    </xf>
    <xf numFmtId="49" fontId="14" fillId="4" borderId="7" xfId="0" applyNumberFormat="1" applyFont="1" applyFill="1" applyBorder="1" applyAlignment="1">
      <alignment horizontal="left"/>
    </xf>
    <xf numFmtId="0" fontId="14" fillId="0" borderId="0" xfId="3" applyFont="1"/>
    <xf numFmtId="49" fontId="15" fillId="0" borderId="11" xfId="3" applyNumberFormat="1" applyFont="1" applyFill="1" applyBorder="1" applyAlignment="1">
      <alignment horizontal="left"/>
    </xf>
    <xf numFmtId="0" fontId="15" fillId="0" borderId="11" xfId="1" applyFont="1" applyFill="1" applyBorder="1" applyAlignment="1">
      <alignment horizontal="left"/>
    </xf>
    <xf numFmtId="0" fontId="14" fillId="0" borderId="7" xfId="1" applyFont="1" applyFill="1" applyBorder="1" applyAlignment="1">
      <alignment horizontal="center"/>
    </xf>
    <xf numFmtId="0" fontId="14" fillId="5" borderId="18" xfId="1" applyFont="1" applyFill="1" applyBorder="1" applyAlignment="1">
      <alignment horizontal="center"/>
    </xf>
    <xf numFmtId="0" fontId="14" fillId="4" borderId="19" xfId="0" applyFont="1" applyFill="1" applyBorder="1" applyAlignment="1">
      <alignment horizontal="left"/>
    </xf>
    <xf numFmtId="49" fontId="14" fillId="5" borderId="11" xfId="0" applyNumberFormat="1" applyFont="1" applyFill="1" applyBorder="1" applyAlignment="1">
      <alignment horizontal="left"/>
    </xf>
    <xf numFmtId="49" fontId="8" fillId="0" borderId="11" xfId="2" applyNumberFormat="1" applyFont="1" applyFill="1" applyBorder="1" applyAlignment="1">
      <alignment horizontal="left"/>
    </xf>
    <xf numFmtId="49" fontId="14" fillId="5" borderId="11" xfId="0" applyNumberFormat="1" applyFont="1" applyFill="1" applyBorder="1" applyAlignment="1">
      <alignment horizontal="center"/>
    </xf>
    <xf numFmtId="0" fontId="14" fillId="5" borderId="7" xfId="1" applyNumberFormat="1" applyFont="1" applyFill="1" applyBorder="1" applyAlignment="1">
      <alignment horizontal="center"/>
    </xf>
    <xf numFmtId="49" fontId="14" fillId="4" borderId="11" xfId="0" applyNumberFormat="1" applyFont="1" applyFill="1" applyBorder="1" applyAlignment="1">
      <alignment horizontal="center"/>
    </xf>
    <xf numFmtId="49" fontId="14" fillId="4" borderId="7" xfId="0" applyNumberFormat="1" applyFont="1" applyFill="1" applyBorder="1" applyAlignment="1">
      <alignment horizontal="center"/>
    </xf>
    <xf numFmtId="49" fontId="8" fillId="4" borderId="7" xfId="0" applyNumberFormat="1" applyFont="1" applyFill="1" applyBorder="1" applyAlignment="1">
      <alignment horizontal="left"/>
    </xf>
    <xf numFmtId="49" fontId="8" fillId="4" borderId="11" xfId="2" applyNumberFormat="1" applyFont="1" applyFill="1" applyBorder="1" applyAlignment="1"/>
    <xf numFmtId="49" fontId="8" fillId="4" borderId="11" xfId="0" applyNumberFormat="1" applyFont="1" applyFill="1" applyBorder="1" applyAlignment="1">
      <alignment horizontal="center"/>
    </xf>
    <xf numFmtId="0" fontId="1" fillId="0" borderId="11" xfId="2" applyFont="1" applyFill="1" applyBorder="1" applyAlignment="1">
      <alignment horizontal="center"/>
    </xf>
    <xf numFmtId="0" fontId="15" fillId="0" borderId="11" xfId="1" applyFont="1" applyFill="1" applyBorder="1" applyAlignment="1">
      <alignment horizontal="center"/>
    </xf>
    <xf numFmtId="49" fontId="8" fillId="4" borderId="11" xfId="2" applyNumberFormat="1" applyFont="1" applyFill="1" applyBorder="1" applyAlignment="1">
      <alignment horizontal="left"/>
    </xf>
    <xf numFmtId="0" fontId="8" fillId="5" borderId="9" xfId="0" applyNumberFormat="1" applyFont="1" applyFill="1" applyBorder="1" applyAlignment="1">
      <alignment horizontal="center"/>
    </xf>
    <xf numFmtId="0" fontId="8" fillId="5" borderId="7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49" fontId="1" fillId="4" borderId="11" xfId="2" applyNumberFormat="1" applyFont="1" applyFill="1" applyBorder="1" applyAlignment="1">
      <alignment horizontal="left"/>
    </xf>
    <xf numFmtId="49" fontId="8" fillId="5" borderId="18" xfId="0" applyNumberFormat="1" applyFont="1" applyFill="1" applyBorder="1" applyAlignment="1">
      <alignment horizontal="left"/>
    </xf>
    <xf numFmtId="0" fontId="10" fillId="4" borderId="7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14" fontId="8" fillId="4" borderId="11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left"/>
    </xf>
    <xf numFmtId="0" fontId="10" fillId="0" borderId="8" xfId="0" applyFont="1" applyFill="1" applyBorder="1" applyAlignment="1">
      <alignment horizontal="left"/>
    </xf>
    <xf numFmtId="0" fontId="10" fillId="0" borderId="9" xfId="0" applyFont="1" applyFill="1" applyBorder="1" applyAlignment="1">
      <alignment horizontal="left"/>
    </xf>
    <xf numFmtId="0" fontId="10" fillId="4" borderId="11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INBOUND</a:t>
            </a:r>
            <a:r>
              <a:rPr lang="en-US" baseline="0"/>
              <a:t> TRAFFIC CHART</a:t>
            </a:r>
            <a:endParaRPr lang="en-US"/>
          </a:p>
        </c:rich>
      </c:tx>
      <c:layout>
        <c:manualLayout>
          <c:xMode val="edge"/>
          <c:yMode val="edge"/>
          <c:x val="0.4191756445606754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'05.12.24'!$N$3</c:f>
              <c:strCache>
                <c:ptCount val="1"/>
                <c:pt idx="0">
                  <c:v>Call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invertIfNegative val="0"/>
          <c:cat>
            <c:numRef>
              <c:f>'05.12.24'!$C$21:$C$30</c:f>
              <c:numCache>
                <c:formatCode>General</c:formatCode>
                <c:ptCount val="10"/>
              </c:numCache>
            </c:numRef>
          </c:cat>
          <c:val>
            <c:numRef>
              <c:f>'05.12.24'!$N$4:$N$17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E-4217-AF90-0928679C9507}"/>
            </c:ext>
          </c:extLst>
        </c:ser>
        <c:ser>
          <c:idx val="1"/>
          <c:order val="1"/>
          <c:tx>
            <c:strRef>
              <c:f>'05.12.24'!$O$3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'05.12.24'!$C$21:$C$30</c:f>
              <c:numCache>
                <c:formatCode>General</c:formatCode>
                <c:ptCount val="10"/>
              </c:numCache>
            </c:numRef>
          </c:cat>
          <c:val>
            <c:numRef>
              <c:f>'05.12.24'!$O$4:$O$17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E-4217-AF90-0928679C9507}"/>
            </c:ext>
          </c:extLst>
        </c:ser>
        <c:ser>
          <c:idx val="2"/>
          <c:order val="2"/>
          <c:tx>
            <c:strRef>
              <c:f>'05.12.24'!$P$3</c:f>
              <c:strCache>
                <c:ptCount val="1"/>
                <c:pt idx="0">
                  <c:v>Mail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invertIfNegative val="0"/>
          <c:cat>
            <c:numRef>
              <c:f>'05.12.24'!$C$21:$C$30</c:f>
              <c:numCache>
                <c:formatCode>General</c:formatCode>
                <c:ptCount val="10"/>
              </c:numCache>
            </c:numRef>
          </c:cat>
          <c:val>
            <c:numRef>
              <c:f>'05.12.24'!$P$4:$P$17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E-4217-AF90-0928679C9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6870399"/>
        <c:axId val="396861663"/>
        <c:axId val="192758384"/>
      </c:bar3DChart>
      <c:catAx>
        <c:axId val="39687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61663"/>
        <c:crosses val="autoZero"/>
        <c:auto val="1"/>
        <c:lblAlgn val="ctr"/>
        <c:lblOffset val="100"/>
        <c:noMultiLvlLbl val="0"/>
      </c:catAx>
      <c:valAx>
        <c:axId val="3968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70399"/>
        <c:crosses val="autoZero"/>
        <c:crossBetween val="between"/>
      </c:valAx>
      <c:serAx>
        <c:axId val="1927583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61663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21</xdr:row>
      <xdr:rowOff>133349</xdr:rowOff>
    </xdr:from>
    <xdr:to>
      <xdr:col>26</xdr:col>
      <xdr:colOff>9525</xdr:colOff>
      <xdr:row>36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0"/>
  <sheetViews>
    <sheetView tabSelected="1" zoomScaleNormal="100" workbookViewId="0">
      <selection activeCell="D26" sqref="D26"/>
    </sheetView>
  </sheetViews>
  <sheetFormatPr defaultColWidth="35.7109375" defaultRowHeight="15" x14ac:dyDescent="0.25"/>
  <cols>
    <col min="1" max="1" width="11.28515625" style="1" customWidth="1"/>
    <col min="2" max="2" width="14.140625" customWidth="1"/>
    <col min="3" max="3" width="31.140625" style="2" customWidth="1"/>
    <col min="4" max="4" width="71.42578125" customWidth="1"/>
    <col min="5" max="5" width="3.5703125" customWidth="1"/>
    <col min="6" max="6" width="4" customWidth="1"/>
    <col min="7" max="7" width="4.140625" customWidth="1"/>
    <col min="8" max="8" width="4.5703125" customWidth="1"/>
    <col min="9" max="9" width="4.140625" style="5" customWidth="1"/>
    <col min="10" max="10" width="5.5703125" style="5" customWidth="1"/>
    <col min="11" max="11" width="11.7109375" customWidth="1"/>
    <col min="12" max="12" width="9.42578125" bestFit="1" customWidth="1"/>
    <col min="13" max="13" width="33.28515625" bestFit="1" customWidth="1"/>
    <col min="14" max="14" width="4.28515625" bestFit="1" customWidth="1"/>
    <col min="15" max="15" width="4.42578125" customWidth="1"/>
    <col min="16" max="16" width="5" bestFit="1" customWidth="1"/>
    <col min="17" max="17" width="5.28515625" customWidth="1"/>
    <col min="18" max="18" width="1.28515625" customWidth="1"/>
    <col min="19" max="19" width="4.28515625" bestFit="1" customWidth="1"/>
    <col min="20" max="20" width="4.5703125" bestFit="1" customWidth="1"/>
    <col min="21" max="21" width="5" bestFit="1" customWidth="1"/>
    <col min="22" max="22" width="6" bestFit="1" customWidth="1"/>
    <col min="23" max="23" width="1.28515625" customWidth="1"/>
    <col min="24" max="24" width="5.5703125" bestFit="1" customWidth="1"/>
    <col min="25" max="25" width="5.5703125" style="5" bestFit="1" customWidth="1"/>
    <col min="26" max="26" width="4.7109375" customWidth="1"/>
    <col min="27" max="27" width="5.42578125" bestFit="1" customWidth="1"/>
  </cols>
  <sheetData>
    <row r="1" spans="1:27" ht="6.75" customHeight="1" thickBot="1" x14ac:dyDescent="0.3">
      <c r="D1" s="3"/>
      <c r="E1" s="3"/>
      <c r="F1" s="3"/>
      <c r="G1" s="3"/>
      <c r="H1" s="3"/>
      <c r="I1" s="4"/>
      <c r="J1" s="4"/>
    </row>
    <row r="2" spans="1:27" ht="19.5" customHeight="1" x14ac:dyDescent="0.35">
      <c r="B2" s="120" t="s">
        <v>0</v>
      </c>
      <c r="C2" s="121"/>
      <c r="D2" s="121"/>
      <c r="E2" s="121"/>
      <c r="F2" s="121"/>
      <c r="G2" s="121"/>
      <c r="H2" s="121"/>
      <c r="I2" s="121"/>
      <c r="J2" s="122"/>
      <c r="K2" s="123"/>
      <c r="L2" s="6" t="s">
        <v>1</v>
      </c>
      <c r="M2" s="7"/>
      <c r="N2" s="124" t="s">
        <v>2</v>
      </c>
      <c r="O2" s="125"/>
      <c r="P2" s="125"/>
      <c r="Q2" s="126"/>
      <c r="S2" s="127" t="s">
        <v>3</v>
      </c>
      <c r="T2" s="128"/>
      <c r="U2" s="128"/>
      <c r="V2" s="129"/>
      <c r="X2" s="130" t="s">
        <v>4</v>
      </c>
      <c r="Y2" s="131"/>
      <c r="Z2" s="131"/>
      <c r="AA2" s="131"/>
    </row>
    <row r="3" spans="1:27" ht="15.75" x14ac:dyDescent="0.25">
      <c r="B3" s="8"/>
      <c r="C3" s="9"/>
      <c r="D3" s="132"/>
      <c r="E3" s="133"/>
      <c r="F3" s="133"/>
      <c r="G3" s="133"/>
      <c r="H3" s="133"/>
      <c r="I3" s="133"/>
      <c r="J3" s="133"/>
      <c r="K3" s="134"/>
      <c r="L3" s="10" t="s">
        <v>5</v>
      </c>
      <c r="M3" s="11" t="s">
        <v>6</v>
      </c>
      <c r="N3" s="12" t="s">
        <v>7</v>
      </c>
      <c r="O3" s="12" t="s">
        <v>8</v>
      </c>
      <c r="P3" s="12" t="s">
        <v>9</v>
      </c>
      <c r="Q3" s="12" t="s">
        <v>10</v>
      </c>
      <c r="S3" s="12" t="s">
        <v>7</v>
      </c>
      <c r="T3" s="12" t="s">
        <v>8</v>
      </c>
      <c r="U3" s="12" t="s">
        <v>9</v>
      </c>
      <c r="V3" s="12" t="s">
        <v>11</v>
      </c>
      <c r="X3" s="13" t="s">
        <v>7</v>
      </c>
      <c r="Y3" s="13" t="s">
        <v>8</v>
      </c>
      <c r="Z3" s="13" t="s">
        <v>12</v>
      </c>
      <c r="AA3" s="13" t="s">
        <v>11</v>
      </c>
    </row>
    <row r="4" spans="1:27" ht="15.75" x14ac:dyDescent="0.25">
      <c r="B4" s="14" t="s">
        <v>13</v>
      </c>
      <c r="C4" s="15"/>
      <c r="D4" s="114" t="s">
        <v>51</v>
      </c>
      <c r="E4" s="115"/>
      <c r="F4" s="115"/>
      <c r="G4" s="115"/>
      <c r="H4" s="116"/>
      <c r="I4" s="117" t="s">
        <v>52</v>
      </c>
      <c r="J4" s="118"/>
      <c r="K4" s="119"/>
      <c r="L4" s="16">
        <v>1</v>
      </c>
      <c r="M4" s="17" t="s">
        <v>14</v>
      </c>
      <c r="N4" s="18">
        <f>S4+X4</f>
        <v>0</v>
      </c>
      <c r="O4" s="18">
        <f>T4+Y4</f>
        <v>0</v>
      </c>
      <c r="P4" s="18">
        <f>U4+Z4</f>
        <v>0</v>
      </c>
      <c r="Q4" s="18">
        <f>SUM(N4:P4)</f>
        <v>0</v>
      </c>
      <c r="S4" s="18">
        <f>COUNTIF($E$13:$E$72,"1")</f>
        <v>0</v>
      </c>
      <c r="T4" s="18">
        <f>COUNTIF($G$13:$G$72,"1")</f>
        <v>0</v>
      </c>
      <c r="U4" s="18">
        <f>COUNTIF($F$13:$F$72,"1.")</f>
        <v>0</v>
      </c>
      <c r="V4" s="18">
        <f>SUM(S4:U4)</f>
        <v>0</v>
      </c>
      <c r="X4" s="19">
        <f>COUNTIF($H$13:$H$72,"1")</f>
        <v>0</v>
      </c>
      <c r="Y4" s="19">
        <f>COUNTIF($J$13:$J$72,"1")</f>
        <v>0</v>
      </c>
      <c r="Z4" s="19">
        <f>COUNTIF($I$13:$I$72,"1.")</f>
        <v>0</v>
      </c>
      <c r="AA4" s="19">
        <f>SUM(X4:Z4)</f>
        <v>0</v>
      </c>
    </row>
    <row r="5" spans="1:27" ht="15.75" x14ac:dyDescent="0.25">
      <c r="B5" s="20"/>
      <c r="C5" s="21"/>
      <c r="D5" s="118"/>
      <c r="E5" s="135"/>
      <c r="F5" s="135"/>
      <c r="G5" s="135"/>
      <c r="H5" s="135"/>
      <c r="I5" s="135"/>
      <c r="J5" s="135"/>
      <c r="K5" s="136"/>
      <c r="L5" s="16">
        <f t="shared" ref="L5:L17" si="0">L4+1</f>
        <v>2</v>
      </c>
      <c r="M5" s="22" t="s">
        <v>15</v>
      </c>
      <c r="N5" s="23">
        <f>S5+X5</f>
        <v>0</v>
      </c>
      <c r="O5" s="23">
        <f t="shared" ref="N5:P17" si="1">T5+Y5</f>
        <v>0</v>
      </c>
      <c r="P5" s="23">
        <f t="shared" si="1"/>
        <v>0</v>
      </c>
      <c r="Q5" s="23">
        <f t="shared" ref="Q5:Q16" si="2">SUM(N5:P5)</f>
        <v>0</v>
      </c>
      <c r="R5" s="24"/>
      <c r="S5" s="23">
        <f>COUNTIF($E$13:$E$72,"2")</f>
        <v>0</v>
      </c>
      <c r="T5" s="23">
        <f>COUNTIF($G$13:$G$72,"2")</f>
        <v>0</v>
      </c>
      <c r="U5" s="23">
        <f>COUNTIF($F$13:$F$72,"2")</f>
        <v>0</v>
      </c>
      <c r="V5" s="23">
        <f>SUM(S5:U5)</f>
        <v>0</v>
      </c>
      <c r="W5" s="24"/>
      <c r="X5" s="19">
        <f>COUNTIF($H$13:$H$72,"2")</f>
        <v>0</v>
      </c>
      <c r="Y5" s="19">
        <f>COUNTIF($J$13:$J$72,"2")</f>
        <v>0</v>
      </c>
      <c r="Z5" s="19">
        <f>COUNTIF($I$13:$I$72,"2")</f>
        <v>0</v>
      </c>
      <c r="AA5" s="19">
        <f>SUM(X5:Z5)</f>
        <v>0</v>
      </c>
    </row>
    <row r="6" spans="1:27" ht="15.75" x14ac:dyDescent="0.25">
      <c r="B6" s="14" t="s">
        <v>16</v>
      </c>
      <c r="C6" s="15"/>
      <c r="D6" s="137" t="s">
        <v>17</v>
      </c>
      <c r="E6" s="138"/>
      <c r="F6" s="138"/>
      <c r="G6" s="138"/>
      <c r="H6" s="139"/>
      <c r="I6" s="140" t="s">
        <v>18</v>
      </c>
      <c r="J6" s="141"/>
      <c r="K6" s="142"/>
      <c r="L6" s="16">
        <f t="shared" si="0"/>
        <v>3</v>
      </c>
      <c r="M6" s="25" t="s">
        <v>19</v>
      </c>
      <c r="N6" s="18">
        <f t="shared" si="1"/>
        <v>0</v>
      </c>
      <c r="O6" s="18">
        <f t="shared" si="1"/>
        <v>0</v>
      </c>
      <c r="P6" s="18">
        <f t="shared" si="1"/>
        <v>0</v>
      </c>
      <c r="Q6" s="18">
        <f t="shared" si="2"/>
        <v>0</v>
      </c>
      <c r="S6" s="18">
        <f>COUNTIF($E$13:$E$72,"3")</f>
        <v>0</v>
      </c>
      <c r="T6" s="18">
        <f>COUNTIF($G$13:$G$72,"3")</f>
        <v>0</v>
      </c>
      <c r="U6" s="18">
        <f>COUNTIF($F$13:$F$72,"3")</f>
        <v>0</v>
      </c>
      <c r="V6" s="18">
        <f t="shared" ref="V6:V16" si="3">SUM(S6:U6)</f>
        <v>0</v>
      </c>
      <c r="X6" s="19">
        <f>COUNTIF($H$13:$H$72,"3")</f>
        <v>0</v>
      </c>
      <c r="Y6" s="19">
        <f>COUNTIF($J$13:$J$72,"3")</f>
        <v>0</v>
      </c>
      <c r="Z6" s="19">
        <f>COUNTIF($I$13:$I$72,"3")</f>
        <v>0</v>
      </c>
      <c r="AA6" s="19">
        <f>SUM(X6:Z6)</f>
        <v>0</v>
      </c>
    </row>
    <row r="7" spans="1:27" ht="15.75" x14ac:dyDescent="0.25">
      <c r="B7" s="20"/>
      <c r="C7" s="21"/>
      <c r="D7" s="118"/>
      <c r="E7" s="135"/>
      <c r="F7" s="135"/>
      <c r="G7" s="135"/>
      <c r="H7" s="135"/>
      <c r="I7" s="135"/>
      <c r="J7" s="135"/>
      <c r="K7" s="136"/>
      <c r="L7" s="16">
        <f t="shared" si="0"/>
        <v>4</v>
      </c>
      <c r="M7" s="25" t="s">
        <v>20</v>
      </c>
      <c r="N7" s="18">
        <f t="shared" si="1"/>
        <v>0</v>
      </c>
      <c r="O7" s="18">
        <f t="shared" si="1"/>
        <v>0</v>
      </c>
      <c r="P7" s="18">
        <f t="shared" si="1"/>
        <v>0</v>
      </c>
      <c r="Q7" s="18">
        <f t="shared" si="2"/>
        <v>0</v>
      </c>
      <c r="S7" s="18">
        <f>COUNTIF($E$13:$E$72,"4")</f>
        <v>0</v>
      </c>
      <c r="T7" s="18">
        <f>COUNTIF($G$13:$G$72,"4")</f>
        <v>0</v>
      </c>
      <c r="U7" s="18">
        <f>COUNTIF($F$13:$F$72,"4")</f>
        <v>0</v>
      </c>
      <c r="V7" s="18">
        <f t="shared" si="3"/>
        <v>0</v>
      </c>
      <c r="X7" s="19">
        <f>COUNTIF($H$13:$H$72,"4")</f>
        <v>0</v>
      </c>
      <c r="Y7" s="19">
        <f>COUNTIF($J$13:$J$72,"4")</f>
        <v>0</v>
      </c>
      <c r="Z7" s="19">
        <f>COUNTIF($I$13:$I$72,"4")</f>
        <v>0</v>
      </c>
      <c r="AA7" s="19">
        <f t="shared" ref="AA7:AA16" si="4">SUM(X7:Z7)</f>
        <v>0</v>
      </c>
    </row>
    <row r="8" spans="1:27" ht="15.75" x14ac:dyDescent="0.25">
      <c r="B8" s="14" t="s">
        <v>21</v>
      </c>
      <c r="C8" s="15" t="s">
        <v>22</v>
      </c>
      <c r="D8" s="114" t="s">
        <v>23</v>
      </c>
      <c r="E8" s="115"/>
      <c r="F8" s="115"/>
      <c r="G8" s="115"/>
      <c r="H8" s="116"/>
      <c r="I8" s="140" t="s">
        <v>24</v>
      </c>
      <c r="J8" s="141"/>
      <c r="K8" s="142"/>
      <c r="L8" s="16">
        <f t="shared" si="0"/>
        <v>5</v>
      </c>
      <c r="M8" s="25" t="s">
        <v>25</v>
      </c>
      <c r="N8" s="18">
        <f t="shared" si="1"/>
        <v>0</v>
      </c>
      <c r="O8" s="18">
        <f t="shared" si="1"/>
        <v>0</v>
      </c>
      <c r="P8" s="18">
        <f t="shared" si="1"/>
        <v>0</v>
      </c>
      <c r="Q8" s="18">
        <f t="shared" si="2"/>
        <v>0</v>
      </c>
      <c r="S8" s="18">
        <f>COUNTIF($E$13:$E$72,"5")</f>
        <v>0</v>
      </c>
      <c r="T8" s="18">
        <f>COUNTIF($G$13:$G$72,"5")</f>
        <v>0</v>
      </c>
      <c r="U8" s="18">
        <f>COUNTIF($F$13:$F$72,"5")</f>
        <v>0</v>
      </c>
      <c r="V8" s="18">
        <f t="shared" si="3"/>
        <v>0</v>
      </c>
      <c r="X8" s="19">
        <f>COUNTIF($H$13:$H$72,"5")</f>
        <v>0</v>
      </c>
      <c r="Y8" s="19">
        <f>COUNTIF($J$13:$J$72,"5")</f>
        <v>0</v>
      </c>
      <c r="Z8" s="19">
        <f>COUNTIF($I$13:$I$72,"5")</f>
        <v>0</v>
      </c>
      <c r="AA8" s="19">
        <f t="shared" si="4"/>
        <v>0</v>
      </c>
    </row>
    <row r="9" spans="1:27" ht="15.75" x14ac:dyDescent="0.25">
      <c r="B9" s="20"/>
      <c r="C9" s="21"/>
      <c r="D9" s="118"/>
      <c r="E9" s="135"/>
      <c r="F9" s="135"/>
      <c r="G9" s="135"/>
      <c r="H9" s="135"/>
      <c r="I9" s="135"/>
      <c r="J9" s="135"/>
      <c r="K9" s="136"/>
      <c r="L9" s="16">
        <f t="shared" si="0"/>
        <v>6</v>
      </c>
      <c r="M9" s="25" t="s">
        <v>26</v>
      </c>
      <c r="N9" s="18">
        <f t="shared" si="1"/>
        <v>0</v>
      </c>
      <c r="O9" s="18">
        <f t="shared" si="1"/>
        <v>0</v>
      </c>
      <c r="P9" s="18">
        <f t="shared" si="1"/>
        <v>0</v>
      </c>
      <c r="Q9" s="18">
        <f t="shared" si="2"/>
        <v>0</v>
      </c>
      <c r="S9" s="18">
        <f>COUNTIF($E$13:$E$72,"6")</f>
        <v>0</v>
      </c>
      <c r="T9" s="18">
        <f>COUNTIF($G$13:$G$72,"6")</f>
        <v>0</v>
      </c>
      <c r="U9" s="18">
        <f>COUNTIF($F$13:$F$72,"6")</f>
        <v>0</v>
      </c>
      <c r="V9" s="18">
        <f t="shared" si="3"/>
        <v>0</v>
      </c>
      <c r="X9" s="19">
        <f>COUNTIF($H$13:$H$72,"6")</f>
        <v>0</v>
      </c>
      <c r="Y9" s="19">
        <f>COUNTIF($J$13:$J$72,"6")</f>
        <v>0</v>
      </c>
      <c r="Z9" s="19">
        <f>COUNTIF($I$13:$I$72,"6")</f>
        <v>0</v>
      </c>
      <c r="AA9" s="19">
        <f t="shared" si="4"/>
        <v>0</v>
      </c>
    </row>
    <row r="10" spans="1:27" ht="15.75" x14ac:dyDescent="0.25">
      <c r="B10" s="26" t="s">
        <v>27</v>
      </c>
      <c r="C10" s="27" t="s">
        <v>28</v>
      </c>
      <c r="D10" s="28" t="s">
        <v>29</v>
      </c>
      <c r="E10" s="146" t="s">
        <v>30</v>
      </c>
      <c r="F10" s="147"/>
      <c r="G10" s="147"/>
      <c r="H10" s="147"/>
      <c r="I10" s="147"/>
      <c r="J10" s="148"/>
      <c r="K10" s="149" t="s">
        <v>31</v>
      </c>
      <c r="L10" s="16">
        <f t="shared" si="0"/>
        <v>7</v>
      </c>
      <c r="M10" s="29" t="s">
        <v>32</v>
      </c>
      <c r="N10" s="18">
        <f t="shared" si="1"/>
        <v>0</v>
      </c>
      <c r="O10" s="18">
        <f t="shared" si="1"/>
        <v>0</v>
      </c>
      <c r="P10" s="18">
        <f t="shared" si="1"/>
        <v>0</v>
      </c>
      <c r="Q10" s="18">
        <f t="shared" si="2"/>
        <v>0</v>
      </c>
      <c r="S10" s="18">
        <f>COUNTIF($E$13:$E$72,"7")</f>
        <v>0</v>
      </c>
      <c r="T10" s="18">
        <f>COUNTIF($G$13:$G$72,"7")</f>
        <v>0</v>
      </c>
      <c r="U10" s="18">
        <f>COUNTIF($F$13:$F$72,"7")</f>
        <v>0</v>
      </c>
      <c r="V10" s="18">
        <f t="shared" si="3"/>
        <v>0</v>
      </c>
      <c r="X10" s="19">
        <f>COUNTIF($H$13:$H$72,"7")</f>
        <v>0</v>
      </c>
      <c r="Y10" s="19">
        <f>COUNTIF($J$13:$J$72,"7")</f>
        <v>0</v>
      </c>
      <c r="Z10" s="19">
        <f>COUNTIF($I$13:$I$72,"7")</f>
        <v>0</v>
      </c>
      <c r="AA10" s="19">
        <f t="shared" si="4"/>
        <v>0</v>
      </c>
    </row>
    <row r="11" spans="1:27" ht="15.75" x14ac:dyDescent="0.25">
      <c r="B11" s="30"/>
      <c r="C11" s="31"/>
      <c r="D11" s="28"/>
      <c r="E11" s="141" t="s">
        <v>33</v>
      </c>
      <c r="F11" s="151"/>
      <c r="G11" s="152"/>
      <c r="H11" s="153" t="s">
        <v>34</v>
      </c>
      <c r="I11" s="153"/>
      <c r="J11" s="154"/>
      <c r="K11" s="150"/>
      <c r="L11" s="16">
        <f t="shared" si="0"/>
        <v>8</v>
      </c>
      <c r="M11" s="17" t="s">
        <v>35</v>
      </c>
      <c r="N11" s="18">
        <f t="shared" si="1"/>
        <v>0</v>
      </c>
      <c r="O11" s="18">
        <f t="shared" si="1"/>
        <v>0</v>
      </c>
      <c r="P11" s="18">
        <f t="shared" si="1"/>
        <v>0</v>
      </c>
      <c r="Q11" s="18">
        <f t="shared" si="2"/>
        <v>0</v>
      </c>
      <c r="S11" s="18">
        <f>COUNTIF($E$13:$E$72,"8")</f>
        <v>0</v>
      </c>
      <c r="T11" s="18">
        <f>COUNTIF($G$13:$G$72,"8")</f>
        <v>0</v>
      </c>
      <c r="U11" s="18">
        <f>COUNTIF($F$13:$F$72,"8")</f>
        <v>0</v>
      </c>
      <c r="V11" s="18">
        <f>SUM(S11:U11)</f>
        <v>0</v>
      </c>
      <c r="X11" s="19">
        <f>COUNTIF($H$13:$H$72,"8")</f>
        <v>0</v>
      </c>
      <c r="Y11" s="19">
        <f>COUNTIF($J$13:$J$72,"8")</f>
        <v>0</v>
      </c>
      <c r="Z11" s="19">
        <f>COUNTIF($I$13:$I$72,"8")</f>
        <v>0</v>
      </c>
      <c r="AA11" s="19">
        <f t="shared" si="4"/>
        <v>0</v>
      </c>
    </row>
    <row r="12" spans="1:27" s="41" customFormat="1" ht="15.75" x14ac:dyDescent="0.25">
      <c r="A12" s="32"/>
      <c r="B12" s="33"/>
      <c r="C12" s="34"/>
      <c r="D12" s="35"/>
      <c r="E12" s="36" t="s">
        <v>7</v>
      </c>
      <c r="F12" s="36" t="s">
        <v>9</v>
      </c>
      <c r="G12" s="37" t="s">
        <v>8</v>
      </c>
      <c r="H12" s="38" t="s">
        <v>7</v>
      </c>
      <c r="I12" s="39" t="s">
        <v>9</v>
      </c>
      <c r="J12" s="39" t="s">
        <v>8</v>
      </c>
      <c r="K12" s="40" t="s">
        <v>36</v>
      </c>
      <c r="L12" s="16">
        <f t="shared" si="0"/>
        <v>9</v>
      </c>
      <c r="M12" s="17" t="s">
        <v>37</v>
      </c>
      <c r="N12" s="18">
        <f t="shared" si="1"/>
        <v>0</v>
      </c>
      <c r="O12" s="18">
        <f t="shared" si="1"/>
        <v>0</v>
      </c>
      <c r="P12" s="18">
        <f t="shared" si="1"/>
        <v>0</v>
      </c>
      <c r="Q12" s="18">
        <f t="shared" si="2"/>
        <v>0</v>
      </c>
      <c r="S12" s="18">
        <f>COUNTIF($E$13:$E$72,"9")</f>
        <v>0</v>
      </c>
      <c r="T12" s="18">
        <f>COUNTIF($G$13:$G$72,"9")</f>
        <v>0</v>
      </c>
      <c r="U12" s="18">
        <f>COUNTIF($F$13:$F$72,"9")</f>
        <v>0</v>
      </c>
      <c r="V12" s="18">
        <f t="shared" si="3"/>
        <v>0</v>
      </c>
      <c r="X12" s="19">
        <f>COUNTIF($H$13:$H$72,"9")</f>
        <v>0</v>
      </c>
      <c r="Y12" s="19">
        <f>COUNTIF($J$13:$J$72,"9")</f>
        <v>0</v>
      </c>
      <c r="Z12" s="19">
        <f>COUNTIF($I$13:$I$72,"9")</f>
        <v>0</v>
      </c>
      <c r="AA12" s="19">
        <f t="shared" si="4"/>
        <v>0</v>
      </c>
    </row>
    <row r="13" spans="1:27" s="41" customFormat="1" ht="15.75" x14ac:dyDescent="0.25">
      <c r="A13" s="32"/>
      <c r="B13" s="33"/>
      <c r="C13" s="34"/>
      <c r="D13" s="35"/>
      <c r="E13" s="42"/>
      <c r="F13" s="43"/>
      <c r="G13" s="44"/>
      <c r="H13" s="45"/>
      <c r="I13" s="46"/>
      <c r="J13" s="47"/>
      <c r="K13" s="40" t="s">
        <v>36</v>
      </c>
      <c r="L13" s="16">
        <f t="shared" si="0"/>
        <v>10</v>
      </c>
      <c r="M13" s="48" t="s">
        <v>38</v>
      </c>
      <c r="N13" s="18">
        <f t="shared" si="1"/>
        <v>0</v>
      </c>
      <c r="O13" s="18">
        <f t="shared" si="1"/>
        <v>0</v>
      </c>
      <c r="P13" s="18">
        <f t="shared" si="1"/>
        <v>0</v>
      </c>
      <c r="Q13" s="18">
        <f t="shared" si="2"/>
        <v>0</v>
      </c>
      <c r="S13" s="18">
        <f>COUNTIF($E$13:$E$72,"10")</f>
        <v>0</v>
      </c>
      <c r="T13" s="18">
        <f>COUNTIF($G$13:$G$72,"10")</f>
        <v>0</v>
      </c>
      <c r="U13" s="18">
        <f>COUNTIF($F$13:$F$72,"10")</f>
        <v>0</v>
      </c>
      <c r="V13" s="18">
        <f t="shared" si="3"/>
        <v>0</v>
      </c>
      <c r="X13" s="19">
        <f>COUNTIF($H$13:$H$72,"10")</f>
        <v>0</v>
      </c>
      <c r="Y13" s="19">
        <f>COUNTIF($J$13:$J$72,"10")</f>
        <v>0</v>
      </c>
      <c r="Z13" s="19">
        <f>COUNTIF($I$13:$I$72,"10")</f>
        <v>0</v>
      </c>
      <c r="AA13" s="19">
        <f t="shared" si="4"/>
        <v>0</v>
      </c>
    </row>
    <row r="14" spans="1:27" s="41" customFormat="1" ht="15.75" x14ac:dyDescent="0.25">
      <c r="A14" s="32"/>
      <c r="B14" s="49"/>
      <c r="C14" s="50"/>
      <c r="D14" s="35"/>
      <c r="E14" s="42"/>
      <c r="F14" s="43"/>
      <c r="G14" s="44"/>
      <c r="H14" s="45"/>
      <c r="I14" s="46"/>
      <c r="J14" s="47"/>
      <c r="K14" s="40" t="s">
        <v>36</v>
      </c>
      <c r="L14" s="16">
        <f>L13+1</f>
        <v>11</v>
      </c>
      <c r="M14" s="29" t="s">
        <v>53</v>
      </c>
      <c r="N14" s="18">
        <f t="shared" si="1"/>
        <v>0</v>
      </c>
      <c r="O14" s="18">
        <f t="shared" si="1"/>
        <v>0</v>
      </c>
      <c r="P14" s="18">
        <f t="shared" si="1"/>
        <v>0</v>
      </c>
      <c r="Q14" s="18">
        <f t="shared" si="2"/>
        <v>0</v>
      </c>
      <c r="S14" s="18">
        <f>COUNTIF($E$13:$E$72,"11")</f>
        <v>0</v>
      </c>
      <c r="T14" s="18">
        <f>COUNTIF($G$13:$G$72,"11")</f>
        <v>0</v>
      </c>
      <c r="U14" s="18">
        <f>COUNTIF($F$13:$F$72,"11")</f>
        <v>0</v>
      </c>
      <c r="V14" s="18">
        <f t="shared" si="3"/>
        <v>0</v>
      </c>
      <c r="X14" s="19">
        <f>COUNTIF($H$13:$H$72,"11")</f>
        <v>0</v>
      </c>
      <c r="Y14" s="19">
        <f>COUNTIF($J$13:$J$72,"11")</f>
        <v>0</v>
      </c>
      <c r="Z14" s="19">
        <f>COUNTIF($I$13:$I$72,"11")</f>
        <v>0</v>
      </c>
      <c r="AA14" s="19">
        <f t="shared" si="4"/>
        <v>0</v>
      </c>
    </row>
    <row r="15" spans="1:27" s="41" customFormat="1" ht="15.75" x14ac:dyDescent="0.25">
      <c r="A15" s="32"/>
      <c r="B15" s="49"/>
      <c r="C15" s="34"/>
      <c r="D15" s="35"/>
      <c r="E15" s="42"/>
      <c r="F15" s="43"/>
      <c r="G15" s="44"/>
      <c r="H15" s="45"/>
      <c r="I15" s="51"/>
      <c r="J15" s="47"/>
      <c r="K15" s="40" t="s">
        <v>36</v>
      </c>
      <c r="L15" s="16">
        <f>L14+1</f>
        <v>12</v>
      </c>
      <c r="M15" s="52" t="s">
        <v>39</v>
      </c>
      <c r="N15" s="18">
        <f t="shared" si="1"/>
        <v>0</v>
      </c>
      <c r="O15" s="18">
        <f t="shared" si="1"/>
        <v>0</v>
      </c>
      <c r="P15" s="18">
        <f t="shared" si="1"/>
        <v>0</v>
      </c>
      <c r="Q15" s="18">
        <f t="shared" si="2"/>
        <v>0</v>
      </c>
      <c r="S15" s="18">
        <f>COUNTIF($E$13:$E$72,"12")</f>
        <v>0</v>
      </c>
      <c r="T15" s="18">
        <f>COUNTIF($G$13:$G$72,"12")</f>
        <v>0</v>
      </c>
      <c r="U15" s="18">
        <f>COUNTIF($F$13:$F$72,"12")</f>
        <v>0</v>
      </c>
      <c r="V15" s="18">
        <f t="shared" si="3"/>
        <v>0</v>
      </c>
      <c r="X15" s="19">
        <f>COUNTIF($H$13:$H$72,"12")</f>
        <v>0</v>
      </c>
      <c r="Y15" s="19">
        <f>COUNTIF($J$13:$J$72,"12")</f>
        <v>0</v>
      </c>
      <c r="Z15" s="19">
        <f>COUNTIF($I$13:$I$72,"12")</f>
        <v>0</v>
      </c>
      <c r="AA15" s="19">
        <f t="shared" si="4"/>
        <v>0</v>
      </c>
    </row>
    <row r="16" spans="1:27" ht="15.75" x14ac:dyDescent="0.25">
      <c r="B16" s="49"/>
      <c r="C16" s="34"/>
      <c r="D16" s="35"/>
      <c r="E16" s="42"/>
      <c r="F16" s="43"/>
      <c r="G16" s="44"/>
      <c r="H16" s="45"/>
      <c r="I16" s="51"/>
      <c r="J16" s="47"/>
      <c r="K16" s="40" t="s">
        <v>36</v>
      </c>
      <c r="L16" s="16">
        <f t="shared" si="0"/>
        <v>13</v>
      </c>
      <c r="M16" s="53" t="s">
        <v>40</v>
      </c>
      <c r="N16" s="18">
        <f t="shared" si="1"/>
        <v>0</v>
      </c>
      <c r="O16" s="18">
        <f t="shared" si="1"/>
        <v>0</v>
      </c>
      <c r="P16" s="18">
        <f t="shared" si="1"/>
        <v>0</v>
      </c>
      <c r="Q16" s="18">
        <f t="shared" si="2"/>
        <v>0</v>
      </c>
      <c r="S16" s="18">
        <f>COUNTIF($E$13:$E$72,"13")</f>
        <v>0</v>
      </c>
      <c r="T16" s="18">
        <f>COUNTIF($G$13:$G$72,"13")</f>
        <v>0</v>
      </c>
      <c r="U16" s="18">
        <f>COUNTIF($F$13:$F$72,"13")</f>
        <v>0</v>
      </c>
      <c r="V16" s="18">
        <f t="shared" si="3"/>
        <v>0</v>
      </c>
      <c r="X16" s="19">
        <f>COUNTIF($H$13:$H$72,"13")</f>
        <v>0</v>
      </c>
      <c r="Y16" s="19">
        <f>COUNTIF($J$13:$J$72,"13")</f>
        <v>0</v>
      </c>
      <c r="Z16" s="19">
        <f>COUNTIF($I$13:$I$72,"13")</f>
        <v>0</v>
      </c>
      <c r="AA16" s="19">
        <f t="shared" si="4"/>
        <v>0</v>
      </c>
    </row>
    <row r="17" spans="1:28" ht="15.75" x14ac:dyDescent="0.25">
      <c r="B17" s="54"/>
      <c r="C17" s="55"/>
      <c r="D17" s="35"/>
      <c r="E17" s="36"/>
      <c r="F17" s="43"/>
      <c r="G17" s="44"/>
      <c r="H17" s="45"/>
      <c r="I17" s="46"/>
      <c r="J17" s="47"/>
      <c r="K17" s="40" t="s">
        <v>36</v>
      </c>
      <c r="L17" s="16">
        <f t="shared" si="0"/>
        <v>14</v>
      </c>
      <c r="M17" s="29" t="s">
        <v>41</v>
      </c>
      <c r="N17" s="18">
        <f>S17+X17</f>
        <v>0</v>
      </c>
      <c r="O17" s="18">
        <f t="shared" si="1"/>
        <v>0</v>
      </c>
      <c r="P17" s="18">
        <f t="shared" si="1"/>
        <v>0</v>
      </c>
      <c r="Q17" s="18">
        <f>SUM(N17:P17)</f>
        <v>0</v>
      </c>
      <c r="S17" s="18">
        <f>COUNTIF($E$13:$E$72,"14")</f>
        <v>0</v>
      </c>
      <c r="T17" s="18">
        <f>COUNTIF($G$13:$G$72,"14")</f>
        <v>0</v>
      </c>
      <c r="U17" s="18">
        <f>COUNTIF($F$13:$F$72,"14")</f>
        <v>0</v>
      </c>
      <c r="V17" s="18">
        <f>SUM(S17:U17)</f>
        <v>0</v>
      </c>
      <c r="X17" s="19">
        <f>COUNTIF($H$13:$H$72,"14")</f>
        <v>0</v>
      </c>
      <c r="Y17" s="19">
        <f>COUNTIF($J$13:$J$72,"14")</f>
        <v>0</v>
      </c>
      <c r="Z17" s="19">
        <f>COUNTIF($I$13:$I$72,"1.")</f>
        <v>0</v>
      </c>
      <c r="AA17" s="19">
        <f>SUM(X17:Z17)</f>
        <v>0</v>
      </c>
    </row>
    <row r="18" spans="1:28" ht="15.75" x14ac:dyDescent="0.25">
      <c r="B18" s="54"/>
      <c r="C18" s="55"/>
      <c r="D18" s="35"/>
      <c r="E18" s="42"/>
      <c r="F18" s="43"/>
      <c r="G18" s="44"/>
      <c r="H18" s="45"/>
      <c r="I18" s="46"/>
      <c r="J18" s="47"/>
      <c r="K18" s="40" t="s">
        <v>36</v>
      </c>
      <c r="L18" s="56"/>
      <c r="M18" s="57" t="s">
        <v>42</v>
      </c>
      <c r="N18" s="58">
        <f>SUM(N4:N17)</f>
        <v>0</v>
      </c>
      <c r="O18" s="59">
        <f>SUM(O4:O17)</f>
        <v>0</v>
      </c>
      <c r="P18" s="59">
        <f>SUM(P4:P17)</f>
        <v>0</v>
      </c>
      <c r="Q18" s="59">
        <f>SUM(N18:P18)</f>
        <v>0</v>
      </c>
      <c r="R18" s="60"/>
      <c r="S18" s="59">
        <f>SUM(S4:S17)</f>
        <v>0</v>
      </c>
      <c r="T18" s="59">
        <f>SUM(T4:T17)</f>
        <v>0</v>
      </c>
      <c r="U18" s="59">
        <f>SUM(U4:U17)</f>
        <v>0</v>
      </c>
      <c r="V18" s="59">
        <f>SUM(V4:V17)</f>
        <v>0</v>
      </c>
      <c r="W18" s="60"/>
      <c r="X18" s="61">
        <f>SUM(X4:X17)</f>
        <v>0</v>
      </c>
      <c r="Y18" s="61">
        <f>SUM(Y4:Y17)</f>
        <v>0</v>
      </c>
      <c r="Z18" s="61">
        <f>SUM(Z4:Z17)</f>
        <v>0</v>
      </c>
      <c r="AA18" s="61">
        <f>SUM(AA4:AA17)</f>
        <v>0</v>
      </c>
      <c r="AB18" s="56"/>
    </row>
    <row r="19" spans="1:28" ht="15.75" x14ac:dyDescent="0.25">
      <c r="B19" s="54"/>
      <c r="C19" s="50"/>
      <c r="D19" s="35"/>
      <c r="E19" s="62"/>
      <c r="F19" s="63"/>
      <c r="G19" s="44"/>
      <c r="H19" s="45"/>
      <c r="I19" s="64"/>
      <c r="J19" s="47"/>
      <c r="K19" s="40" t="s">
        <v>36</v>
      </c>
      <c r="L19" s="56"/>
      <c r="M19" s="65"/>
      <c r="N19" s="66"/>
      <c r="O19" s="67"/>
      <c r="P19" s="67"/>
      <c r="Q19" s="67"/>
      <c r="R19" s="56"/>
      <c r="S19" s="56"/>
      <c r="T19" s="56"/>
      <c r="U19" s="56"/>
      <c r="V19" s="56"/>
      <c r="W19" s="56"/>
      <c r="X19" s="56"/>
      <c r="Y19" s="68"/>
      <c r="Z19" s="56"/>
      <c r="AA19" s="56"/>
      <c r="AB19" s="56"/>
    </row>
    <row r="20" spans="1:28" ht="15.75" x14ac:dyDescent="0.25">
      <c r="B20" s="54"/>
      <c r="C20" s="34"/>
      <c r="D20" s="35"/>
      <c r="E20" s="36"/>
      <c r="F20" s="43"/>
      <c r="G20" s="44"/>
      <c r="H20" s="45"/>
      <c r="I20" s="51"/>
      <c r="J20" s="47"/>
      <c r="K20" s="40" t="s">
        <v>36</v>
      </c>
    </row>
    <row r="21" spans="1:28" ht="15.75" x14ac:dyDescent="0.25">
      <c r="B21" s="49"/>
      <c r="C21" s="69"/>
      <c r="D21" s="35"/>
      <c r="E21" s="70"/>
      <c r="F21" s="71"/>
      <c r="G21" s="72"/>
      <c r="H21" s="73"/>
      <c r="I21" s="74"/>
      <c r="J21" s="47"/>
      <c r="K21" s="40" t="s">
        <v>36</v>
      </c>
    </row>
    <row r="22" spans="1:28" s="60" customFormat="1" ht="15.75" x14ac:dyDescent="0.25">
      <c r="A22" s="75"/>
      <c r="B22" s="33"/>
      <c r="C22" s="55"/>
      <c r="D22" s="35"/>
      <c r="E22" s="76"/>
      <c r="F22" s="76"/>
      <c r="G22" s="77"/>
      <c r="H22" s="78"/>
      <c r="I22" s="79"/>
      <c r="J22" s="47"/>
      <c r="K22" s="40" t="s">
        <v>36</v>
      </c>
      <c r="Y22" s="80"/>
    </row>
    <row r="23" spans="1:28" s="83" customFormat="1" ht="15.75" x14ac:dyDescent="0.25">
      <c r="A23" s="81"/>
      <c r="B23" s="33"/>
      <c r="C23" s="69"/>
      <c r="D23" s="35"/>
      <c r="E23" s="76"/>
      <c r="F23" s="76"/>
      <c r="G23" s="77"/>
      <c r="H23" s="78"/>
      <c r="I23" s="79"/>
      <c r="J23" s="47"/>
      <c r="K23" s="82" t="s">
        <v>36</v>
      </c>
      <c r="Y23" s="84"/>
    </row>
    <row r="24" spans="1:28" ht="15.75" x14ac:dyDescent="0.25">
      <c r="B24" s="33"/>
      <c r="C24" s="50"/>
      <c r="D24" s="35"/>
      <c r="E24" s="76"/>
      <c r="F24" s="85"/>
      <c r="G24" s="77"/>
      <c r="H24" s="78"/>
      <c r="I24" s="79"/>
      <c r="J24" s="47"/>
      <c r="K24" s="40" t="s">
        <v>36</v>
      </c>
    </row>
    <row r="25" spans="1:28" ht="15.75" x14ac:dyDescent="0.25">
      <c r="B25" s="33"/>
      <c r="C25" s="86"/>
      <c r="D25" s="35"/>
      <c r="E25" s="76"/>
      <c r="F25" s="76"/>
      <c r="G25" s="77"/>
      <c r="H25" s="78"/>
      <c r="I25" s="79"/>
      <c r="J25" s="47"/>
      <c r="K25" s="87" t="s">
        <v>36</v>
      </c>
    </row>
    <row r="26" spans="1:28" ht="15.75" x14ac:dyDescent="0.25">
      <c r="B26" s="33"/>
      <c r="C26" s="88"/>
      <c r="D26" s="35"/>
      <c r="E26" s="76"/>
      <c r="F26" s="76"/>
      <c r="G26" s="89"/>
      <c r="H26" s="78"/>
      <c r="I26" s="79"/>
      <c r="J26" s="47"/>
      <c r="K26" s="87" t="s">
        <v>36</v>
      </c>
    </row>
    <row r="27" spans="1:28" ht="15.75" x14ac:dyDescent="0.25">
      <c r="B27" s="30"/>
      <c r="C27" s="88"/>
      <c r="D27" s="35"/>
      <c r="E27" s="31"/>
      <c r="F27" s="31"/>
      <c r="G27" s="90"/>
      <c r="H27" s="78"/>
      <c r="I27" s="79"/>
      <c r="J27" s="47"/>
      <c r="K27" s="87" t="s">
        <v>36</v>
      </c>
    </row>
    <row r="28" spans="1:28" ht="15.75" x14ac:dyDescent="0.25">
      <c r="B28" s="33"/>
      <c r="C28" s="34"/>
      <c r="D28" s="35"/>
      <c r="E28" s="76"/>
      <c r="F28" s="76"/>
      <c r="G28" s="77"/>
      <c r="H28" s="78"/>
      <c r="I28" s="79"/>
      <c r="J28" s="47"/>
      <c r="K28" s="87" t="s">
        <v>36</v>
      </c>
    </row>
    <row r="29" spans="1:28" ht="15.75" x14ac:dyDescent="0.25">
      <c r="B29" s="33"/>
      <c r="C29" s="34"/>
      <c r="D29" s="35"/>
      <c r="E29" s="76"/>
      <c r="F29" s="76"/>
      <c r="G29" s="77"/>
      <c r="H29" s="78"/>
      <c r="I29" s="79"/>
      <c r="J29" s="47"/>
      <c r="K29" s="87" t="s">
        <v>36</v>
      </c>
    </row>
    <row r="30" spans="1:28" ht="15.75" x14ac:dyDescent="0.25">
      <c r="B30" s="33"/>
      <c r="C30" s="50"/>
      <c r="D30" s="35"/>
      <c r="E30" s="76"/>
      <c r="F30" s="76"/>
      <c r="G30" s="77"/>
      <c r="H30" s="78"/>
      <c r="I30" s="79"/>
      <c r="J30" s="47"/>
      <c r="K30" s="87" t="s">
        <v>36</v>
      </c>
    </row>
    <row r="31" spans="1:28" ht="15.75" x14ac:dyDescent="0.25">
      <c r="B31" s="33"/>
      <c r="C31" s="69"/>
      <c r="D31" s="35"/>
      <c r="E31" s="76"/>
      <c r="F31" s="85"/>
      <c r="G31" s="77"/>
      <c r="H31" s="78"/>
      <c r="I31" s="79"/>
      <c r="J31" s="47"/>
      <c r="K31" s="87" t="s">
        <v>36</v>
      </c>
    </row>
    <row r="32" spans="1:28" ht="15.75" x14ac:dyDescent="0.25">
      <c r="B32" s="33"/>
      <c r="C32" s="50"/>
      <c r="D32" s="35"/>
      <c r="E32" s="76"/>
      <c r="F32" s="76"/>
      <c r="G32" s="89"/>
      <c r="H32" s="78"/>
      <c r="I32" s="79"/>
      <c r="J32" s="47"/>
      <c r="K32" s="87" t="s">
        <v>36</v>
      </c>
    </row>
    <row r="33" spans="2:13" ht="15.75" x14ac:dyDescent="0.25">
      <c r="B33" s="33"/>
      <c r="C33" s="50"/>
      <c r="D33" s="35"/>
      <c r="E33" s="76"/>
      <c r="F33" s="85"/>
      <c r="G33" s="77"/>
      <c r="H33" s="78"/>
      <c r="I33" s="79"/>
      <c r="J33" s="47"/>
      <c r="K33" s="87" t="s">
        <v>36</v>
      </c>
    </row>
    <row r="34" spans="2:13" ht="15.75" x14ac:dyDescent="0.25">
      <c r="B34" s="33"/>
      <c r="C34" s="50"/>
      <c r="D34" s="35"/>
      <c r="E34" s="76"/>
      <c r="F34" s="85"/>
      <c r="G34" s="77"/>
      <c r="H34" s="78"/>
      <c r="I34" s="79"/>
      <c r="J34" s="47"/>
      <c r="K34" s="87" t="s">
        <v>36</v>
      </c>
    </row>
    <row r="35" spans="2:13" ht="15.75" x14ac:dyDescent="0.25">
      <c r="B35" s="33"/>
      <c r="C35" s="91"/>
      <c r="D35" s="35"/>
      <c r="E35" s="76"/>
      <c r="F35" s="76"/>
      <c r="G35" s="77"/>
      <c r="H35" s="78"/>
      <c r="I35" s="79"/>
      <c r="J35" s="47"/>
      <c r="K35" s="87" t="s">
        <v>36</v>
      </c>
    </row>
    <row r="36" spans="2:13" ht="15.75" x14ac:dyDescent="0.25">
      <c r="B36" s="30"/>
      <c r="C36" s="92"/>
      <c r="D36" s="35"/>
      <c r="E36" s="76"/>
      <c r="F36" s="76"/>
      <c r="G36" s="89"/>
      <c r="H36" s="78"/>
      <c r="I36" s="79"/>
      <c r="J36" s="47"/>
      <c r="K36" s="87" t="s">
        <v>36</v>
      </c>
    </row>
    <row r="37" spans="2:13" ht="15.75" x14ac:dyDescent="0.25">
      <c r="B37" s="33"/>
      <c r="C37" s="50"/>
      <c r="D37" s="35"/>
      <c r="E37" s="93"/>
      <c r="F37" s="93"/>
      <c r="G37" s="94"/>
      <c r="H37" s="95"/>
      <c r="I37" s="79"/>
      <c r="J37" s="47"/>
      <c r="K37" s="87" t="s">
        <v>36</v>
      </c>
    </row>
    <row r="38" spans="2:13" ht="15.75" x14ac:dyDescent="0.25">
      <c r="B38" s="30"/>
      <c r="C38" s="50"/>
      <c r="D38" s="35"/>
      <c r="E38" s="76"/>
      <c r="F38" s="76"/>
      <c r="G38" s="89"/>
      <c r="H38" s="78"/>
      <c r="I38" s="79"/>
      <c r="J38" s="47"/>
      <c r="K38" s="87" t="s">
        <v>36</v>
      </c>
    </row>
    <row r="39" spans="2:13" ht="15.75" x14ac:dyDescent="0.25">
      <c r="B39" s="33"/>
      <c r="C39" s="50"/>
      <c r="D39" s="35"/>
      <c r="E39" s="76"/>
      <c r="F39" s="76"/>
      <c r="G39" s="89"/>
      <c r="H39" s="78"/>
      <c r="I39" s="79"/>
      <c r="J39" s="47"/>
      <c r="K39" s="87" t="s">
        <v>36</v>
      </c>
      <c r="M39" t="s">
        <v>43</v>
      </c>
    </row>
    <row r="40" spans="2:13" ht="15.75" x14ac:dyDescent="0.25">
      <c r="B40" s="30"/>
      <c r="C40" s="50"/>
      <c r="D40" s="35"/>
      <c r="E40" s="76"/>
      <c r="F40" s="76"/>
      <c r="G40" s="89"/>
      <c r="H40" s="78"/>
      <c r="I40" s="79"/>
      <c r="J40" s="47"/>
      <c r="K40" s="87" t="s">
        <v>36</v>
      </c>
      <c r="M40" t="s">
        <v>44</v>
      </c>
    </row>
    <row r="41" spans="2:13" ht="15.75" x14ac:dyDescent="0.25">
      <c r="B41" s="30"/>
      <c r="C41" s="55"/>
      <c r="D41" s="35"/>
      <c r="E41" s="76"/>
      <c r="F41" s="76"/>
      <c r="G41" s="77"/>
      <c r="H41" s="78"/>
      <c r="I41" s="79"/>
      <c r="J41" s="47"/>
      <c r="K41" s="87" t="s">
        <v>36</v>
      </c>
    </row>
    <row r="42" spans="2:13" ht="15.75" x14ac:dyDescent="0.25">
      <c r="B42" s="30"/>
      <c r="C42" s="55"/>
      <c r="D42" s="35"/>
      <c r="E42" s="76"/>
      <c r="F42" s="76"/>
      <c r="G42" s="77"/>
      <c r="H42" s="78"/>
      <c r="I42" s="79"/>
      <c r="J42" s="47"/>
      <c r="K42" s="87" t="s">
        <v>36</v>
      </c>
    </row>
    <row r="43" spans="2:13" ht="15.75" x14ac:dyDescent="0.25">
      <c r="B43" s="30"/>
      <c r="C43" s="50"/>
      <c r="D43" s="35"/>
      <c r="E43" s="31"/>
      <c r="F43" s="31"/>
      <c r="G43" s="90"/>
      <c r="H43" s="78"/>
      <c r="I43" s="79"/>
      <c r="J43" s="47"/>
      <c r="K43" s="87" t="s">
        <v>36</v>
      </c>
    </row>
    <row r="44" spans="2:13" ht="15.75" x14ac:dyDescent="0.25">
      <c r="B44" s="96"/>
      <c r="C44" s="88"/>
      <c r="D44" s="35"/>
      <c r="E44" s="31"/>
      <c r="F44" s="31"/>
      <c r="G44" s="90"/>
      <c r="H44" s="78"/>
      <c r="I44" s="97"/>
      <c r="J44" s="47"/>
      <c r="K44" s="87" t="s">
        <v>36</v>
      </c>
    </row>
    <row r="45" spans="2:13" ht="15.75" x14ac:dyDescent="0.25">
      <c r="B45" s="49"/>
      <c r="C45" s="98"/>
      <c r="D45" s="35"/>
      <c r="E45" s="93"/>
      <c r="F45" s="93"/>
      <c r="G45" s="94"/>
      <c r="H45" s="95"/>
      <c r="I45" s="79"/>
      <c r="J45" s="47"/>
      <c r="K45" s="87" t="s">
        <v>36</v>
      </c>
    </row>
    <row r="46" spans="2:13" ht="15.75" x14ac:dyDescent="0.25">
      <c r="B46" s="96"/>
      <c r="C46" s="69"/>
      <c r="D46" s="35"/>
      <c r="E46" s="31"/>
      <c r="F46" s="31"/>
      <c r="G46" s="90"/>
      <c r="H46" s="78"/>
      <c r="I46" s="99"/>
      <c r="J46" s="47"/>
      <c r="K46" s="87" t="s">
        <v>36</v>
      </c>
    </row>
    <row r="47" spans="2:13" ht="15.75" x14ac:dyDescent="0.25">
      <c r="B47" s="49"/>
      <c r="C47" s="88"/>
      <c r="D47" s="35"/>
      <c r="E47" s="93"/>
      <c r="F47" s="93"/>
      <c r="G47" s="94"/>
      <c r="H47" s="95"/>
      <c r="I47" s="79"/>
      <c r="J47" s="47"/>
      <c r="K47" s="87" t="s">
        <v>36</v>
      </c>
    </row>
    <row r="48" spans="2:13" ht="15.75" x14ac:dyDescent="0.25">
      <c r="B48" s="49"/>
      <c r="C48" s="88"/>
      <c r="D48" s="35"/>
      <c r="E48" s="85"/>
      <c r="F48" s="76"/>
      <c r="G48" s="89"/>
      <c r="H48" s="78"/>
      <c r="I48" s="79"/>
      <c r="J48" s="100"/>
      <c r="K48" s="87" t="s">
        <v>36</v>
      </c>
      <c r="M48" t="s">
        <v>45</v>
      </c>
    </row>
    <row r="49" spans="2:13" ht="15.75" x14ac:dyDescent="0.25">
      <c r="B49" s="49"/>
      <c r="C49" s="34"/>
      <c r="D49" s="35"/>
      <c r="E49" s="85"/>
      <c r="F49" s="76"/>
      <c r="G49" s="77"/>
      <c r="H49" s="78"/>
      <c r="I49" s="79"/>
      <c r="J49" s="100"/>
      <c r="K49" s="87" t="s">
        <v>36</v>
      </c>
      <c r="M49" t="s">
        <v>46</v>
      </c>
    </row>
    <row r="50" spans="2:13" ht="15.75" x14ac:dyDescent="0.25">
      <c r="B50" s="49"/>
      <c r="C50" s="50"/>
      <c r="D50" s="35"/>
      <c r="E50" s="101"/>
      <c r="F50" s="31"/>
      <c r="G50" s="102"/>
      <c r="H50" s="78"/>
      <c r="I50" s="79"/>
      <c r="J50" s="47"/>
      <c r="K50" s="87" t="s">
        <v>36</v>
      </c>
    </row>
    <row r="51" spans="2:13" ht="15.75" x14ac:dyDescent="0.25">
      <c r="B51" s="49"/>
      <c r="C51" s="98"/>
      <c r="D51" s="35"/>
      <c r="E51" s="21"/>
      <c r="F51" s="21"/>
      <c r="G51" s="103"/>
      <c r="H51" s="78"/>
      <c r="I51" s="79"/>
      <c r="J51" s="47"/>
      <c r="K51" s="87" t="s">
        <v>36</v>
      </c>
    </row>
    <row r="52" spans="2:13" ht="15.75" x14ac:dyDescent="0.25">
      <c r="B52" s="49"/>
      <c r="C52" s="104"/>
      <c r="D52" s="35"/>
      <c r="E52" s="105"/>
      <c r="F52" s="21"/>
      <c r="G52" s="103"/>
      <c r="H52" s="78"/>
      <c r="I52" s="79"/>
      <c r="J52" s="47"/>
      <c r="K52" s="87" t="s">
        <v>36</v>
      </c>
    </row>
    <row r="53" spans="2:13" ht="15.75" x14ac:dyDescent="0.25">
      <c r="B53" s="33"/>
      <c r="C53" s="88"/>
      <c r="D53" s="35"/>
      <c r="E53" s="105"/>
      <c r="F53" s="21"/>
      <c r="G53" s="103"/>
      <c r="H53" s="78"/>
      <c r="I53" s="79"/>
      <c r="J53" s="47"/>
      <c r="K53" s="87" t="s">
        <v>36</v>
      </c>
    </row>
    <row r="54" spans="2:13" ht="15.75" x14ac:dyDescent="0.25">
      <c r="B54" s="33"/>
      <c r="C54" s="88"/>
      <c r="D54" s="35"/>
      <c r="E54" s="71"/>
      <c r="F54" s="106"/>
      <c r="G54" s="72"/>
      <c r="H54" s="73"/>
      <c r="I54" s="79"/>
      <c r="J54" s="47"/>
      <c r="K54" s="87" t="s">
        <v>36</v>
      </c>
    </row>
    <row r="55" spans="2:13" ht="15.75" x14ac:dyDescent="0.25">
      <c r="B55" s="30"/>
      <c r="C55" s="88"/>
      <c r="D55" s="35"/>
      <c r="E55" s="107"/>
      <c r="F55" s="93"/>
      <c r="G55" s="94"/>
      <c r="H55" s="95"/>
      <c r="I55" s="79"/>
      <c r="J55" s="47"/>
      <c r="K55" s="87" t="s">
        <v>36</v>
      </c>
    </row>
    <row r="56" spans="2:13" ht="15.75" x14ac:dyDescent="0.25">
      <c r="B56" s="30"/>
      <c r="C56" s="88"/>
      <c r="D56" s="35"/>
      <c r="E56" s="93"/>
      <c r="F56" s="107"/>
      <c r="G56" s="94"/>
      <c r="H56" s="95"/>
      <c r="I56" s="79"/>
      <c r="J56" s="47"/>
      <c r="K56" s="87" t="s">
        <v>36</v>
      </c>
    </row>
    <row r="57" spans="2:13" ht="15.75" x14ac:dyDescent="0.25">
      <c r="B57" s="30"/>
      <c r="C57" s="108"/>
      <c r="D57" s="35"/>
      <c r="E57" s="31"/>
      <c r="F57" s="31"/>
      <c r="G57" s="90"/>
      <c r="H57" s="45"/>
      <c r="I57" s="109"/>
      <c r="J57" s="110"/>
      <c r="K57" s="87" t="s">
        <v>36</v>
      </c>
      <c r="M57" t="s">
        <v>47</v>
      </c>
    </row>
    <row r="58" spans="2:13" ht="15.75" x14ac:dyDescent="0.25">
      <c r="B58" s="30"/>
      <c r="C58" s="108"/>
      <c r="D58" s="35"/>
      <c r="E58" s="31"/>
      <c r="F58" s="31"/>
      <c r="G58" s="102"/>
      <c r="H58" s="45"/>
      <c r="I58" s="109"/>
      <c r="J58" s="110"/>
      <c r="K58" s="87" t="s">
        <v>36</v>
      </c>
    </row>
    <row r="59" spans="2:13" ht="15.75" x14ac:dyDescent="0.25">
      <c r="B59" s="30"/>
      <c r="C59" s="108"/>
      <c r="D59" s="35"/>
      <c r="E59" s="31"/>
      <c r="F59" s="31"/>
      <c r="G59" s="90"/>
      <c r="H59" s="45"/>
      <c r="I59" s="109"/>
      <c r="J59" s="110"/>
      <c r="K59" s="87" t="s">
        <v>36</v>
      </c>
    </row>
    <row r="60" spans="2:13" ht="15.75" x14ac:dyDescent="0.25">
      <c r="B60" s="30"/>
      <c r="C60" s="108"/>
      <c r="D60" s="35"/>
      <c r="E60" s="31"/>
      <c r="F60" s="31"/>
      <c r="G60" s="90"/>
      <c r="H60" s="45"/>
      <c r="I60" s="109"/>
      <c r="J60" s="110"/>
      <c r="K60" s="87" t="s">
        <v>36</v>
      </c>
    </row>
    <row r="61" spans="2:13" ht="15.75" x14ac:dyDescent="0.25">
      <c r="B61" s="111"/>
      <c r="C61" s="108"/>
      <c r="D61" s="35"/>
      <c r="E61" s="31"/>
      <c r="F61" s="31"/>
      <c r="G61" s="90"/>
      <c r="H61" s="45"/>
      <c r="I61" s="109"/>
      <c r="J61" s="110"/>
      <c r="K61" s="87" t="s">
        <v>36</v>
      </c>
    </row>
    <row r="62" spans="2:13" ht="15.75" x14ac:dyDescent="0.25">
      <c r="B62" s="111"/>
      <c r="C62" s="108"/>
      <c r="D62" s="35"/>
      <c r="E62" s="31"/>
      <c r="F62" s="31"/>
      <c r="G62" s="90"/>
      <c r="H62" s="45"/>
      <c r="I62" s="109"/>
      <c r="J62" s="110"/>
      <c r="K62" s="87" t="s">
        <v>36</v>
      </c>
    </row>
    <row r="63" spans="2:13" ht="15.75" x14ac:dyDescent="0.25">
      <c r="B63" s="111"/>
      <c r="C63" s="108"/>
      <c r="D63" s="35"/>
      <c r="E63" s="31"/>
      <c r="F63" s="31"/>
      <c r="G63" s="90"/>
      <c r="H63" s="45"/>
      <c r="I63" s="109"/>
      <c r="J63" s="110"/>
      <c r="K63" s="87" t="s">
        <v>36</v>
      </c>
    </row>
    <row r="64" spans="2:13" ht="15.75" x14ac:dyDescent="0.25">
      <c r="B64" s="111"/>
      <c r="C64" s="108"/>
      <c r="D64" s="35"/>
      <c r="E64" s="31"/>
      <c r="F64" s="31"/>
      <c r="G64" s="90"/>
      <c r="H64" s="45"/>
      <c r="I64" s="109"/>
      <c r="J64" s="110"/>
      <c r="K64" s="87" t="s">
        <v>36</v>
      </c>
    </row>
    <row r="65" spans="2:26" ht="15.75" x14ac:dyDescent="0.25">
      <c r="B65" s="111"/>
      <c r="C65" s="108"/>
      <c r="D65" s="35"/>
      <c r="E65" s="31"/>
      <c r="F65" s="31"/>
      <c r="G65" s="90"/>
      <c r="H65" s="45"/>
      <c r="I65" s="109"/>
      <c r="J65" s="110"/>
      <c r="K65" s="87" t="s">
        <v>36</v>
      </c>
    </row>
    <row r="66" spans="2:26" ht="15.75" x14ac:dyDescent="0.25">
      <c r="B66" s="111"/>
      <c r="C66" s="108"/>
      <c r="D66" s="35"/>
      <c r="E66" s="31"/>
      <c r="F66" s="31"/>
      <c r="G66" s="90"/>
      <c r="H66" s="45"/>
      <c r="I66" s="109"/>
      <c r="J66" s="110"/>
      <c r="K66" s="87" t="s">
        <v>36</v>
      </c>
    </row>
    <row r="67" spans="2:26" ht="15.75" x14ac:dyDescent="0.25">
      <c r="B67" s="111"/>
      <c r="C67" s="108"/>
      <c r="D67" s="35"/>
      <c r="E67" s="31"/>
      <c r="F67" s="31"/>
      <c r="G67" s="90"/>
      <c r="H67" s="45"/>
      <c r="I67" s="109"/>
      <c r="J67" s="110"/>
      <c r="K67" s="87" t="s">
        <v>36</v>
      </c>
    </row>
    <row r="68" spans="2:26" ht="15.75" x14ac:dyDescent="0.25">
      <c r="B68" s="111"/>
      <c r="C68" s="108"/>
      <c r="D68" s="35"/>
      <c r="E68" s="31"/>
      <c r="F68" s="31"/>
      <c r="G68" s="90"/>
      <c r="H68" s="45"/>
      <c r="I68" s="109"/>
      <c r="J68" s="110"/>
      <c r="K68" s="87" t="s">
        <v>36</v>
      </c>
    </row>
    <row r="69" spans="2:26" ht="15.75" x14ac:dyDescent="0.25">
      <c r="B69" s="111"/>
      <c r="C69" s="108"/>
      <c r="D69" s="35"/>
      <c r="E69" s="31"/>
      <c r="F69" s="31"/>
      <c r="G69" s="90"/>
      <c r="H69" s="45"/>
      <c r="I69" s="109"/>
      <c r="J69" s="110"/>
      <c r="K69" s="87"/>
    </row>
    <row r="70" spans="2:26" ht="15.75" x14ac:dyDescent="0.25">
      <c r="B70" s="111"/>
      <c r="C70" s="108"/>
      <c r="D70" s="35"/>
      <c r="E70" s="31"/>
      <c r="F70" s="31"/>
      <c r="G70" s="90"/>
      <c r="H70" s="45"/>
      <c r="I70" s="109"/>
      <c r="J70" s="110"/>
      <c r="K70" s="87"/>
    </row>
    <row r="71" spans="2:26" ht="15.75" x14ac:dyDescent="0.25">
      <c r="B71" s="111"/>
      <c r="C71" s="108"/>
      <c r="D71" s="35"/>
      <c r="E71" s="31"/>
      <c r="F71" s="31"/>
      <c r="G71" s="90"/>
      <c r="H71" s="45"/>
      <c r="I71" s="109"/>
      <c r="J71" s="110"/>
      <c r="K71" s="87"/>
    </row>
    <row r="72" spans="2:26" ht="15.75" x14ac:dyDescent="0.25">
      <c r="B72" s="111"/>
      <c r="C72" s="112"/>
      <c r="D72" s="21"/>
      <c r="E72" s="21"/>
      <c r="F72" s="21"/>
      <c r="G72" s="103"/>
      <c r="H72" s="113"/>
      <c r="I72" s="109"/>
      <c r="J72" s="110"/>
      <c r="K72" s="87"/>
    </row>
    <row r="73" spans="2:26" ht="15.75" x14ac:dyDescent="0.25">
      <c r="B73" s="14" t="s">
        <v>48</v>
      </c>
      <c r="C73" s="132"/>
      <c r="D73" s="133"/>
      <c r="E73" s="133"/>
      <c r="F73" s="133"/>
      <c r="G73" s="133"/>
      <c r="H73" s="133"/>
      <c r="I73" s="133"/>
      <c r="J73" s="133"/>
      <c r="K73" s="134"/>
    </row>
    <row r="74" spans="2:26" ht="15.75" x14ac:dyDescent="0.25">
      <c r="B74" s="14" t="s">
        <v>49</v>
      </c>
      <c r="C74" s="118"/>
      <c r="D74" s="135"/>
      <c r="E74" s="135"/>
      <c r="F74" s="135"/>
      <c r="G74" s="135"/>
      <c r="H74" s="135"/>
      <c r="I74" s="135"/>
      <c r="J74" s="135"/>
      <c r="K74" s="136"/>
    </row>
    <row r="75" spans="2:26" ht="15.75" thickBot="1" x14ac:dyDescent="0.3">
      <c r="B75" s="143"/>
      <c r="C75" s="144"/>
      <c r="D75" s="144"/>
      <c r="E75" s="144"/>
      <c r="F75" s="144"/>
      <c r="G75" s="144"/>
      <c r="H75" s="144"/>
      <c r="I75" s="144"/>
      <c r="J75" s="144"/>
      <c r="K75" s="145"/>
    </row>
    <row r="76" spans="2:26" x14ac:dyDescent="0.25">
      <c r="Z76" s="24"/>
    </row>
    <row r="90" spans="1:27" s="2" customFormat="1" x14ac:dyDescent="0.25">
      <c r="A90" s="1"/>
      <c r="B90" t="s">
        <v>50</v>
      </c>
      <c r="D90"/>
      <c r="E90"/>
      <c r="F90"/>
      <c r="G90"/>
      <c r="H90"/>
      <c r="I90" s="5"/>
      <c r="J90" s="5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s="5"/>
      <c r="Z90"/>
      <c r="AA90"/>
    </row>
  </sheetData>
  <mergeCells count="21">
    <mergeCell ref="D7:K7"/>
    <mergeCell ref="D8:H8"/>
    <mergeCell ref="I8:K8"/>
    <mergeCell ref="C74:K74"/>
    <mergeCell ref="B75:K75"/>
    <mergeCell ref="D9:K9"/>
    <mergeCell ref="E10:J10"/>
    <mergeCell ref="K10:K11"/>
    <mergeCell ref="E11:G11"/>
    <mergeCell ref="H11:J11"/>
    <mergeCell ref="C73:K73"/>
    <mergeCell ref="X2:AA2"/>
    <mergeCell ref="D3:K3"/>
    <mergeCell ref="D5:K5"/>
    <mergeCell ref="D6:H6"/>
    <mergeCell ref="I6:K6"/>
    <mergeCell ref="D4:H4"/>
    <mergeCell ref="I4:K4"/>
    <mergeCell ref="B2:K2"/>
    <mergeCell ref="N2:Q2"/>
    <mergeCell ref="S2:V2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05.12.24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2024-11-15T10:18:08Z</dcterms:created>
  <dcterms:modified xsi:type="dcterms:W3CDTF">2025-11-21T14:19:08Z</dcterms:modified>
</cp:coreProperties>
</file>